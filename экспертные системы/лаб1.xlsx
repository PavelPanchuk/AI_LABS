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vel\Desktop\экспертные системы\"/>
    </mc:Choice>
  </mc:AlternateContent>
  <xr:revisionPtr revIDLastSave="0" documentId="13_ncr:1_{362F9E6E-8DC3-415F-9874-6FD306E5E3A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38" i="1"/>
  <c r="E39" i="1"/>
  <c r="E40" i="1"/>
  <c r="E41" i="1"/>
  <c r="E42" i="1"/>
  <c r="E43" i="1"/>
  <c r="E33" i="1"/>
  <c r="H34" i="1"/>
  <c r="H35" i="1"/>
  <c r="H36" i="1"/>
  <c r="H37" i="1"/>
  <c r="H38" i="1"/>
  <c r="H39" i="1"/>
  <c r="H40" i="1"/>
  <c r="H41" i="1"/>
  <c r="H42" i="1"/>
  <c r="H43" i="1"/>
  <c r="H33" i="1"/>
  <c r="G34" i="1"/>
  <c r="G35" i="1"/>
  <c r="G36" i="1"/>
  <c r="G37" i="1"/>
  <c r="G38" i="1"/>
  <c r="G39" i="1"/>
  <c r="G40" i="1"/>
  <c r="G41" i="1"/>
  <c r="G42" i="1"/>
  <c r="G43" i="1"/>
  <c r="G33" i="1"/>
  <c r="F34" i="1"/>
  <c r="F35" i="1"/>
  <c r="F36" i="1"/>
  <c r="F37" i="1"/>
  <c r="F38" i="1"/>
  <c r="F39" i="1"/>
  <c r="F40" i="1"/>
  <c r="F41" i="1"/>
  <c r="F42" i="1"/>
  <c r="F43" i="1"/>
  <c r="F33" i="1"/>
  <c r="D34" i="1"/>
  <c r="D35" i="1"/>
  <c r="D36" i="1"/>
  <c r="D37" i="1"/>
  <c r="D38" i="1"/>
  <c r="D39" i="1"/>
  <c r="D40" i="1"/>
  <c r="D41" i="1"/>
  <c r="D42" i="1"/>
  <c r="D43" i="1"/>
  <c r="D33" i="1"/>
  <c r="C34" i="1"/>
  <c r="C35" i="1"/>
  <c r="C36" i="1"/>
  <c r="C37" i="1"/>
  <c r="C38" i="1"/>
  <c r="C39" i="1"/>
  <c r="C40" i="1"/>
  <c r="C41" i="1"/>
  <c r="C42" i="1"/>
  <c r="C43" i="1"/>
  <c r="C33" i="1"/>
  <c r="H44" i="1" l="1"/>
  <c r="G44" i="1"/>
  <c r="F44" i="1"/>
  <c r="C44" i="1"/>
  <c r="D44" i="1"/>
  <c r="E44" i="1"/>
  <c r="J44" i="1" l="1"/>
</calcChain>
</file>

<file path=xl/sharedStrings.xml><?xml version="1.0" encoding="utf-8"?>
<sst xmlns="http://schemas.openxmlformats.org/spreadsheetml/2006/main" count="134" uniqueCount="26">
  <si>
    <t>Алтай</t>
  </si>
  <si>
    <t>Сочи</t>
  </si>
  <si>
    <t>Египет</t>
  </si>
  <si>
    <t>Калифорния</t>
  </si>
  <si>
    <t>Альпы</t>
  </si>
  <si>
    <t>Шанхай</t>
  </si>
  <si>
    <t>нужна виза</t>
  </si>
  <si>
    <t>нет</t>
  </si>
  <si>
    <t>да</t>
  </si>
  <si>
    <t>заграница</t>
  </si>
  <si>
    <t>есть горы</t>
  </si>
  <si>
    <t>прямой рейс</t>
  </si>
  <si>
    <t>рестораны с звездой мишлен</t>
  </si>
  <si>
    <t>безопасный курорт</t>
  </si>
  <si>
    <t>наличие музеев</t>
  </si>
  <si>
    <t>экскурсии по области</t>
  </si>
  <si>
    <t>Курорты у тур оператора</t>
  </si>
  <si>
    <t>английский язык распространен</t>
  </si>
  <si>
    <t>христианство</t>
  </si>
  <si>
    <t>море</t>
  </si>
  <si>
    <t>user</t>
  </si>
  <si>
    <t>итого</t>
  </si>
  <si>
    <t>ответ</t>
  </si>
  <si>
    <t>скор нет</t>
  </si>
  <si>
    <t>скор да</t>
  </si>
  <si>
    <t>не  знаю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</si>
</sst>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/>
    <xf numFmtId="0" fontId="0" fillId="0" borderId="2" xfId="0" applyFill="1" applyBorder="1"/>
    <xf numFmtId="0" fontId="1" fillId="0" borderId="0" xfId="0" applyFont="1"/>
    <xf numFmtId="0" fontId="1" fillId="0" borderId="0" xfId="0" applyFont="1" applyAlignment="1">
      <alignment horizontal="left" vertical="center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4"/>
  <sheetViews>
    <sheetView tabSelected="1" zoomScale="70" zoomScaleNormal="70" workbookViewId="0">
      <selection activeCell="E33" sqref="E33"/>
    </sheetView>
  </sheetViews>
  <sheetFormatPr defaultRowHeight="14.5" x14ac:dyDescent="0.35"/>
  <cols>
    <col min="1" max="1" width="3.54296875" customWidth="1"/>
    <col min="2" max="2" width="29.7265625" customWidth="1"/>
    <col min="4" max="4" width="11.08984375" customWidth="1"/>
    <col min="6" max="6" width="11" customWidth="1"/>
    <col min="7" max="7" width="12.08984375" customWidth="1"/>
    <col min="10" max="10" width="19.54296875" customWidth="1"/>
  </cols>
  <sheetData>
    <row r="3" spans="2:8" x14ac:dyDescent="0.35">
      <c r="B3" s="1" t="s">
        <v>16</v>
      </c>
      <c r="C3" s="1"/>
      <c r="D3" s="1"/>
      <c r="E3" s="1"/>
      <c r="F3" s="1"/>
      <c r="G3" s="1"/>
      <c r="H3" s="1"/>
    </row>
    <row r="4" spans="2:8" x14ac:dyDescent="0.35">
      <c r="C4" s="2" t="s">
        <v>1</v>
      </c>
      <c r="D4" s="2" t="s">
        <v>2</v>
      </c>
      <c r="E4" s="2" t="s">
        <v>0</v>
      </c>
      <c r="F4" s="2" t="s">
        <v>4</v>
      </c>
      <c r="G4" s="2" t="s">
        <v>3</v>
      </c>
      <c r="H4" s="2" t="s">
        <v>5</v>
      </c>
    </row>
    <row r="5" spans="2:8" x14ac:dyDescent="0.35">
      <c r="B5" s="2" t="s">
        <v>6</v>
      </c>
      <c r="C5" t="s">
        <v>7</v>
      </c>
      <c r="D5" t="s">
        <v>8</v>
      </c>
      <c r="E5" t="s">
        <v>7</v>
      </c>
      <c r="F5" t="s">
        <v>8</v>
      </c>
      <c r="G5" t="s">
        <v>8</v>
      </c>
      <c r="H5" t="s">
        <v>7</v>
      </c>
    </row>
    <row r="6" spans="2:8" x14ac:dyDescent="0.35">
      <c r="B6" s="2" t="s">
        <v>9</v>
      </c>
      <c r="C6" t="s">
        <v>7</v>
      </c>
      <c r="D6" t="s">
        <v>8</v>
      </c>
      <c r="E6" t="s">
        <v>7</v>
      </c>
      <c r="F6" t="s">
        <v>8</v>
      </c>
      <c r="G6" t="s">
        <v>8</v>
      </c>
      <c r="H6" t="s">
        <v>8</v>
      </c>
    </row>
    <row r="7" spans="2:8" x14ac:dyDescent="0.35">
      <c r="B7" s="2" t="s">
        <v>10</v>
      </c>
      <c r="C7" t="s">
        <v>8</v>
      </c>
      <c r="D7" t="s">
        <v>7</v>
      </c>
      <c r="E7" t="s">
        <v>8</v>
      </c>
      <c r="F7" t="s">
        <v>8</v>
      </c>
      <c r="G7" t="s">
        <v>8</v>
      </c>
      <c r="H7" t="s">
        <v>8</v>
      </c>
    </row>
    <row r="8" spans="2:8" x14ac:dyDescent="0.35">
      <c r="B8" s="2" t="s">
        <v>11</v>
      </c>
      <c r="C8" t="s">
        <v>8</v>
      </c>
      <c r="D8" t="s">
        <v>7</v>
      </c>
      <c r="E8" t="s">
        <v>8</v>
      </c>
      <c r="F8" t="s">
        <v>7</v>
      </c>
      <c r="G8" t="s">
        <v>7</v>
      </c>
      <c r="H8" t="s">
        <v>7</v>
      </c>
    </row>
    <row r="9" spans="2:8" x14ac:dyDescent="0.35">
      <c r="B9" s="2" t="s">
        <v>12</v>
      </c>
      <c r="C9" t="s">
        <v>7</v>
      </c>
      <c r="D9" t="s">
        <v>7</v>
      </c>
      <c r="E9" t="s">
        <v>7</v>
      </c>
      <c r="F9" t="s">
        <v>8</v>
      </c>
      <c r="G9" t="s">
        <v>8</v>
      </c>
      <c r="H9" t="s">
        <v>8</v>
      </c>
    </row>
    <row r="10" spans="2:8" x14ac:dyDescent="0.35">
      <c r="B10" s="2" t="s">
        <v>13</v>
      </c>
      <c r="C10" t="s">
        <v>8</v>
      </c>
      <c r="D10" t="s">
        <v>7</v>
      </c>
      <c r="E10" t="s">
        <v>8</v>
      </c>
      <c r="F10" t="s">
        <v>8</v>
      </c>
      <c r="G10" t="s">
        <v>7</v>
      </c>
      <c r="H10" t="s">
        <v>8</v>
      </c>
    </row>
    <row r="11" spans="2:8" x14ac:dyDescent="0.35">
      <c r="B11" s="2" t="s">
        <v>14</v>
      </c>
      <c r="C11" t="s">
        <v>8</v>
      </c>
      <c r="D11" t="s">
        <v>8</v>
      </c>
      <c r="E11" t="s">
        <v>8</v>
      </c>
      <c r="F11" t="s">
        <v>7</v>
      </c>
      <c r="G11" t="s">
        <v>7</v>
      </c>
      <c r="H11" t="s">
        <v>8</v>
      </c>
    </row>
    <row r="12" spans="2:8" x14ac:dyDescent="0.35">
      <c r="B12" s="2" t="s">
        <v>15</v>
      </c>
      <c r="C12" t="s">
        <v>7</v>
      </c>
      <c r="D12" t="s">
        <v>8</v>
      </c>
      <c r="E12" t="s">
        <v>8</v>
      </c>
      <c r="F12" t="s">
        <v>8</v>
      </c>
      <c r="G12" t="s">
        <v>8</v>
      </c>
      <c r="H12" t="s">
        <v>7</v>
      </c>
    </row>
    <row r="13" spans="2:8" x14ac:dyDescent="0.35">
      <c r="B13" s="2" t="s">
        <v>17</v>
      </c>
      <c r="C13" t="s">
        <v>7</v>
      </c>
      <c r="D13" t="s">
        <v>8</v>
      </c>
      <c r="E13" t="s">
        <v>7</v>
      </c>
      <c r="F13" t="s">
        <v>8</v>
      </c>
      <c r="G13" t="s">
        <v>8</v>
      </c>
      <c r="H13" t="s">
        <v>7</v>
      </c>
    </row>
    <row r="14" spans="2:8" x14ac:dyDescent="0.35">
      <c r="B14" s="2" t="s">
        <v>18</v>
      </c>
      <c r="C14" t="s">
        <v>8</v>
      </c>
      <c r="D14" t="s">
        <v>7</v>
      </c>
      <c r="E14" t="s">
        <v>8</v>
      </c>
      <c r="F14" t="s">
        <v>7</v>
      </c>
      <c r="G14" t="s">
        <v>7</v>
      </c>
      <c r="H14" t="s">
        <v>7</v>
      </c>
    </row>
    <row r="15" spans="2:8" x14ac:dyDescent="0.35">
      <c r="B15" s="2" t="s">
        <v>19</v>
      </c>
      <c r="C15" t="s">
        <v>8</v>
      </c>
      <c r="D15" t="s">
        <v>8</v>
      </c>
      <c r="E15" t="s">
        <v>7</v>
      </c>
      <c r="F15" t="s">
        <v>7</v>
      </c>
      <c r="G15" t="s">
        <v>8</v>
      </c>
      <c r="H15" t="s">
        <v>8</v>
      </c>
    </row>
    <row r="17" spans="2:10" x14ac:dyDescent="0.35">
      <c r="B17" s="1" t="s">
        <v>16</v>
      </c>
      <c r="C17" s="1"/>
      <c r="D17" s="1"/>
      <c r="E17" s="1"/>
      <c r="F17" s="1"/>
      <c r="G17" s="1"/>
      <c r="H17" s="1"/>
    </row>
    <row r="18" spans="2:10" x14ac:dyDescent="0.35">
      <c r="C18" s="2" t="s">
        <v>1</v>
      </c>
      <c r="D18" s="2" t="s">
        <v>2</v>
      </c>
      <c r="E18" s="2" t="s">
        <v>0</v>
      </c>
      <c r="F18" s="2" t="s">
        <v>4</v>
      </c>
      <c r="G18" s="2" t="s">
        <v>3</v>
      </c>
      <c r="H18" s="2" t="s">
        <v>5</v>
      </c>
    </row>
    <row r="19" spans="2:10" x14ac:dyDescent="0.35">
      <c r="B19" s="2" t="s">
        <v>6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</row>
    <row r="20" spans="2:10" x14ac:dyDescent="0.35">
      <c r="B20" s="2" t="s">
        <v>9</v>
      </c>
      <c r="C20">
        <v>2</v>
      </c>
      <c r="D20">
        <v>3</v>
      </c>
      <c r="E20">
        <v>2</v>
      </c>
      <c r="F20">
        <v>3</v>
      </c>
      <c r="G20">
        <v>3</v>
      </c>
      <c r="H20">
        <v>3</v>
      </c>
    </row>
    <row r="21" spans="2:10" x14ac:dyDescent="0.35">
      <c r="B21" s="2" t="s">
        <v>10</v>
      </c>
      <c r="C21">
        <v>3</v>
      </c>
      <c r="D21">
        <v>1</v>
      </c>
      <c r="E21">
        <v>2</v>
      </c>
      <c r="F21">
        <v>3</v>
      </c>
      <c r="G21">
        <v>2</v>
      </c>
      <c r="H21">
        <v>1</v>
      </c>
    </row>
    <row r="22" spans="2:10" x14ac:dyDescent="0.35">
      <c r="B22" s="2" t="s">
        <v>11</v>
      </c>
      <c r="C22">
        <v>1</v>
      </c>
      <c r="D22">
        <v>2</v>
      </c>
      <c r="E22">
        <v>1</v>
      </c>
      <c r="F22">
        <v>2</v>
      </c>
      <c r="G22">
        <v>2</v>
      </c>
      <c r="H22">
        <v>2</v>
      </c>
    </row>
    <row r="23" spans="2:10" x14ac:dyDescent="0.35">
      <c r="B23" s="2" t="s">
        <v>12</v>
      </c>
      <c r="C23">
        <v>1</v>
      </c>
      <c r="D23">
        <v>1</v>
      </c>
      <c r="E23">
        <v>1</v>
      </c>
      <c r="F23">
        <v>2</v>
      </c>
      <c r="G23">
        <v>3</v>
      </c>
      <c r="H23">
        <v>3</v>
      </c>
    </row>
    <row r="24" spans="2:10" x14ac:dyDescent="0.35">
      <c r="B24" s="2" t="s">
        <v>13</v>
      </c>
      <c r="C24">
        <v>3</v>
      </c>
      <c r="D24">
        <v>2</v>
      </c>
      <c r="E24">
        <v>2</v>
      </c>
      <c r="F24">
        <v>3</v>
      </c>
      <c r="G24">
        <v>2</v>
      </c>
      <c r="H24">
        <v>3</v>
      </c>
    </row>
    <row r="25" spans="2:10" x14ac:dyDescent="0.35">
      <c r="B25" s="2" t="s">
        <v>14</v>
      </c>
      <c r="C25">
        <v>1</v>
      </c>
      <c r="D25">
        <v>3</v>
      </c>
      <c r="E25">
        <v>2</v>
      </c>
      <c r="F25">
        <v>1</v>
      </c>
      <c r="G25">
        <v>1</v>
      </c>
      <c r="H25">
        <v>3</v>
      </c>
    </row>
    <row r="26" spans="2:10" x14ac:dyDescent="0.35">
      <c r="B26" s="2" t="s">
        <v>15</v>
      </c>
      <c r="C26">
        <v>2</v>
      </c>
      <c r="D26">
        <v>3</v>
      </c>
      <c r="E26">
        <v>3</v>
      </c>
      <c r="F26">
        <v>2</v>
      </c>
      <c r="G26">
        <v>2</v>
      </c>
      <c r="H26">
        <v>2</v>
      </c>
    </row>
    <row r="27" spans="2:10" x14ac:dyDescent="0.35">
      <c r="B27" s="2" t="s">
        <v>17</v>
      </c>
      <c r="C27">
        <v>1</v>
      </c>
      <c r="D27">
        <v>2</v>
      </c>
      <c r="E27">
        <v>1</v>
      </c>
      <c r="F27">
        <v>2</v>
      </c>
      <c r="G27">
        <v>3</v>
      </c>
      <c r="H27">
        <v>2</v>
      </c>
    </row>
    <row r="28" spans="2:10" x14ac:dyDescent="0.35">
      <c r="B28" s="2" t="s">
        <v>18</v>
      </c>
      <c r="C28">
        <v>3</v>
      </c>
      <c r="D28">
        <v>1</v>
      </c>
      <c r="E28">
        <v>2</v>
      </c>
      <c r="F28">
        <v>1</v>
      </c>
      <c r="G28">
        <v>1</v>
      </c>
      <c r="H28">
        <v>1</v>
      </c>
    </row>
    <row r="29" spans="2:10" x14ac:dyDescent="0.35">
      <c r="B29" s="2" t="s">
        <v>19</v>
      </c>
      <c r="C29">
        <v>3</v>
      </c>
      <c r="D29">
        <v>3</v>
      </c>
      <c r="E29">
        <v>1</v>
      </c>
      <c r="F29">
        <v>1</v>
      </c>
      <c r="G29">
        <v>2</v>
      </c>
      <c r="H29">
        <v>3</v>
      </c>
    </row>
    <row r="31" spans="2:10" x14ac:dyDescent="0.35">
      <c r="B31" s="1" t="s">
        <v>16</v>
      </c>
      <c r="C31" s="1"/>
      <c r="D31" s="1"/>
      <c r="E31" s="1"/>
      <c r="F31" s="1"/>
      <c r="G31" s="1"/>
      <c r="H31" s="1"/>
    </row>
    <row r="32" spans="2:10" x14ac:dyDescent="0.35">
      <c r="C32" s="2" t="s">
        <v>1</v>
      </c>
      <c r="D32" s="2" t="s">
        <v>2</v>
      </c>
      <c r="E32" s="2" t="s">
        <v>0</v>
      </c>
      <c r="F32" s="2" t="s">
        <v>4</v>
      </c>
      <c r="G32" s="2" t="s">
        <v>3</v>
      </c>
      <c r="H32" s="2" t="s">
        <v>5</v>
      </c>
      <c r="J32" t="s">
        <v>20</v>
      </c>
    </row>
    <row r="33" spans="2:10" ht="15.5" x14ac:dyDescent="0.35">
      <c r="B33" s="2" t="s">
        <v>6</v>
      </c>
      <c r="C33" s="6">
        <f>IF(J33="не знаю",C19/2,
IF(AND(J33="да",C5="да"),C19,
IF(AND(J33="скор да",C5="да"),3*C19/4,
IF(AND(J33="скор нет",C5="да"),C19/4,
IF(AND(J33="нет",C5="нет"),C19,
IF(AND(J33="скор да",C5="нет"),C19/4,
IF(AND(J33="скор нет",C5="нет"),(3*C19)/4,
IF(AND(J33="да",C5="нет"),0,
0))))))))</f>
        <v>0</v>
      </c>
      <c r="D33" s="6">
        <f>IF(J33="не знаю",D19/2,
IF(AND(J33="да",D5="да"),D19,
IF(AND(J33="скор да",D5="да"),3*D19/4,
IF(AND(J33="скор нет",D5="да"),D19/4,
IF(AND(J33="нет",D5="нет"),D19,
IF(AND(J33="скор да",D5="нет"),D19/4,
IF(AND(J33="скор нет",D5="нет"),(3*D19)/4,
IF(AND(J33="да",D5="нет"),0,
0))))))))</f>
        <v>3</v>
      </c>
      <c r="E33" s="6">
        <f>IF(J33="не знаю",E19/2,
IF(AND(J33="да",E5="да"),E19,
IF(AND(J33="скор да",E5="да"),3*E19/4,
IF(AND(J33="скор нет",E5="да"),E19/4,
IF(AND(J33="нет",E5="нет"),E19,
IF(AND(J33="скор да",E5="нет"),E19/4,
IF(AND(J33="скор нет",E5="нет"),(3*E19)/4,
IF(AND(J33="да",E5="нет"),0,
0))))))))</f>
        <v>0</v>
      </c>
      <c r="F33" s="6">
        <f>IF(J33="не знаю",E19/2,
IF(AND(J33="да",E5="да"),E19,
IF(AND(J33="скор да",E5="да"),3*E19/4,
IF(AND(J33="скор нет",E5="да"),E19/4,
IF(AND(J33="нет",E5="нет"),E19,
IF(AND(J33="скор да",E5="нет"),E19/4,
IF(AND(J33="скор нет",E5="нет"),(3*E19)/4,
IF(AND(J33="да",E5="нет"),0,
0))))))))</f>
        <v>0</v>
      </c>
      <c r="G33" s="6">
        <f>IF(J33="не знаю",G19/2,
IF(AND(J33="да",G5="да"),G19,
IF(AND(J33="скор да",G5="да"),3*G19/4,
IF(AND(J33="скор нет",G5="да"),G19/4,
IF(AND(J33="нет",G5="нет"),G19,
IF(AND(J33="скор да",G5="нет"),G19/4,
IF(AND(J33="скор нет",G5="нет"),(3*G19)/4,
IF(AND(J33="да",G5="нет"),0,
0))))))))</f>
        <v>3</v>
      </c>
      <c r="H33" s="6">
        <f>IF(J33="не знаю",H19/2,
IF(AND(J33="да",H5="да"),H19,
IF(AND(J33="скор да",H5="да"),3*H19/4,
IF(AND(J33="скор нет",H5="да"),H19/4,
IF(AND(J33="нет",H5="нет"),H19,
IF(AND(J33="скор да",H5="нет"),H19/4,
IF(AND(J33="скор нет",H5="нет"),(3*H19)/4,
IF(AND(J33="да",H5="нет"),0,
0))))))))</f>
        <v>0</v>
      </c>
      <c r="J33" s="5" t="s">
        <v>8</v>
      </c>
    </row>
    <row r="34" spans="2:10" ht="15.5" x14ac:dyDescent="0.35">
      <c r="B34" s="2" t="s">
        <v>9</v>
      </c>
      <c r="C34" s="6">
        <f t="shared" ref="C34:C43" si="0">IF(J34="не знаю",C20/2,
IF(AND(J34="да",C6="да"),C20,
IF(AND(J34="скор да",C6="да"),3*C20/4,
IF(AND(J34="скор нет",C6="да"),C20/4,
IF(AND(J34="нет",C6="нет"),C20,
IF(AND(J34="скор да",C6="нет"),C20/4,
IF(AND(J34="скор нет",C6="нет"),(3*C20)/4,
IF(AND(J34="да",C6="нет"),0,
0))))))))</f>
        <v>2</v>
      </c>
      <c r="D34" s="6">
        <f t="shared" ref="D34:D43" si="1">IF(J34="не знаю",D20/2,
IF(AND(J34="да",D6="да"),D20,
IF(AND(J34="скор да",D6="да"),3*D20/4,
IF(AND(J34="скор нет",D6="да"),D20/4,
IF(AND(J34="нет",D6="нет"),D20,
IF(AND(J34="скор да",D6="нет"),D20/4,
IF(AND(J34="скор нет",D6="нет"),(3*D20)/4,
IF(AND(J34="да",D6="нет"),0,
0))))))))</f>
        <v>0</v>
      </c>
      <c r="E34" s="6">
        <f t="shared" ref="E34:E43" si="2">IF(J34="не знаю",E20/2,
IF(AND(J34="да",E6="да"),E20,
IF(AND(J34="скор да",E6="да"),3*E20/4,
IF(AND(J34="скор нет",E6="да"),E20/4,
IF(AND(J34="нет",E6="нет"),E20,
IF(AND(J34="скор да",E6="нет"),E20/4,
IF(AND(J34="скор нет",E6="нет"),(3*E20)/4,
IF(AND(J34="да",E6="нет"),0,
0))))))))</f>
        <v>2</v>
      </c>
      <c r="F34" s="6">
        <f t="shared" ref="F34:F43" si="3">IF(J34="не знаю",E20/2,
IF(AND(J34="да",E6="да"),E20,
IF(AND(J34="скор да",E6="да"),3*E20/4,
IF(AND(J34="скор нет",E6="да"),E20/4,
IF(AND(J34="нет",E6="нет"),E20,
IF(AND(J34="скор да",E6="нет"),E20/4,
IF(AND(J34="скор нет",E6="нет"),(3*E20)/4,
IF(AND(J34="да",E6="нет"),0,
0))))))))</f>
        <v>2</v>
      </c>
      <c r="G34" s="6">
        <f t="shared" ref="G34:G43" si="4">IF(J34="не знаю",G20/2,
IF(AND(J34="да",G6="да"),G20,
IF(AND(J34="скор да",G6="да"),3*G20/4,
IF(AND(J34="скор нет",G6="да"),G20/4,
IF(AND(J34="нет",G6="нет"),G20,
IF(AND(J34="скор да",G6="нет"),G20/4,
IF(AND(J34="скор нет",G6="нет"),(3*G20)/4,
IF(AND(J34="да",G6="нет"),0,
0))))))))</f>
        <v>0</v>
      </c>
      <c r="H34" s="6">
        <f t="shared" ref="H34:H43" si="5">IF(J34="не знаю",H20/2,
IF(AND(J34="да",H6="да"),H20,
IF(AND(J34="скор да",H6="да"),3*H20/4,
IF(AND(J34="скор нет",H6="да"),H20/4,
IF(AND(J34="нет",H6="нет"),H20,
IF(AND(J34="скор да",H6="нет"),H20/4,
IF(AND(J34="скор нет",H6="нет"),(3*H20)/4,
IF(AND(J34="да",H6="нет"),0,
0))))))))</f>
        <v>0</v>
      </c>
      <c r="J34" s="3" t="s">
        <v>7</v>
      </c>
    </row>
    <row r="35" spans="2:10" ht="15.5" x14ac:dyDescent="0.35">
      <c r="B35" s="2" t="s">
        <v>10</v>
      </c>
      <c r="C35" s="6">
        <f t="shared" si="0"/>
        <v>2.25</v>
      </c>
      <c r="D35" s="6">
        <f t="shared" si="1"/>
        <v>0.25</v>
      </c>
      <c r="E35" s="6">
        <f t="shared" si="2"/>
        <v>1.5</v>
      </c>
      <c r="F35" s="6">
        <f t="shared" si="3"/>
        <v>1.5</v>
      </c>
      <c r="G35" s="6">
        <f t="shared" si="4"/>
        <v>1.5</v>
      </c>
      <c r="H35" s="6">
        <f t="shared" si="5"/>
        <v>0.75</v>
      </c>
      <c r="J35" s="3" t="s">
        <v>24</v>
      </c>
    </row>
    <row r="36" spans="2:10" ht="15.5" x14ac:dyDescent="0.35">
      <c r="B36" s="2" t="s">
        <v>11</v>
      </c>
      <c r="C36" s="6">
        <f t="shared" si="0"/>
        <v>0.25</v>
      </c>
      <c r="D36" s="6">
        <f t="shared" si="1"/>
        <v>1.5</v>
      </c>
      <c r="E36" s="6">
        <f t="shared" si="2"/>
        <v>0.25</v>
      </c>
      <c r="F36" s="6">
        <f t="shared" si="3"/>
        <v>0.25</v>
      </c>
      <c r="G36" s="6">
        <f t="shared" si="4"/>
        <v>1.5</v>
      </c>
      <c r="H36" s="6">
        <f t="shared" si="5"/>
        <v>1.5</v>
      </c>
      <c r="J36" s="3" t="s">
        <v>23</v>
      </c>
    </row>
    <row r="37" spans="2:10" ht="15.5" x14ac:dyDescent="0.35">
      <c r="B37" s="2" t="s">
        <v>12</v>
      </c>
      <c r="C37" s="6">
        <f t="shared" si="0"/>
        <v>0</v>
      </c>
      <c r="D37" s="6">
        <f t="shared" si="1"/>
        <v>0</v>
      </c>
      <c r="E37" s="6">
        <f t="shared" si="2"/>
        <v>0</v>
      </c>
      <c r="F37" s="6">
        <f t="shared" si="3"/>
        <v>0</v>
      </c>
      <c r="G37" s="6">
        <f t="shared" si="4"/>
        <v>0</v>
      </c>
      <c r="H37" s="6">
        <f t="shared" si="5"/>
        <v>0</v>
      </c>
      <c r="J37" s="3" t="s">
        <v>25</v>
      </c>
    </row>
    <row r="38" spans="2:10" ht="15.5" x14ac:dyDescent="0.35">
      <c r="B38" s="2" t="s">
        <v>13</v>
      </c>
      <c r="C38" s="6">
        <f t="shared" si="0"/>
        <v>3</v>
      </c>
      <c r="D38" s="6">
        <f t="shared" si="1"/>
        <v>0</v>
      </c>
      <c r="E38" s="6">
        <f t="shared" si="2"/>
        <v>2</v>
      </c>
      <c r="F38" s="6">
        <f t="shared" si="3"/>
        <v>2</v>
      </c>
      <c r="G38" s="6">
        <f t="shared" si="4"/>
        <v>0</v>
      </c>
      <c r="H38" s="6">
        <f t="shared" si="5"/>
        <v>3</v>
      </c>
      <c r="J38" s="3" t="s">
        <v>8</v>
      </c>
    </row>
    <row r="39" spans="2:10" ht="15.5" x14ac:dyDescent="0.35">
      <c r="B39" s="2" t="s">
        <v>14</v>
      </c>
      <c r="C39" s="6">
        <f t="shared" si="0"/>
        <v>1</v>
      </c>
      <c r="D39" s="6">
        <f t="shared" si="1"/>
        <v>3</v>
      </c>
      <c r="E39" s="6">
        <f t="shared" si="2"/>
        <v>2</v>
      </c>
      <c r="F39" s="6">
        <f t="shared" si="3"/>
        <v>2</v>
      </c>
      <c r="G39" s="6">
        <f t="shared" si="4"/>
        <v>0</v>
      </c>
      <c r="H39" s="6">
        <f t="shared" si="5"/>
        <v>3</v>
      </c>
      <c r="J39" s="3" t="s">
        <v>8</v>
      </c>
    </row>
    <row r="40" spans="2:10" ht="15.5" x14ac:dyDescent="0.35">
      <c r="B40" s="2" t="s">
        <v>15</v>
      </c>
      <c r="C40" s="6">
        <f t="shared" si="0"/>
        <v>2</v>
      </c>
      <c r="D40" s="6">
        <f t="shared" si="1"/>
        <v>0</v>
      </c>
      <c r="E40" s="6">
        <f t="shared" si="2"/>
        <v>0</v>
      </c>
      <c r="F40" s="6">
        <f t="shared" si="3"/>
        <v>0</v>
      </c>
      <c r="G40" s="6">
        <f t="shared" si="4"/>
        <v>0</v>
      </c>
      <c r="H40" s="6">
        <f t="shared" si="5"/>
        <v>2</v>
      </c>
      <c r="J40" s="3" t="s">
        <v>7</v>
      </c>
    </row>
    <row r="41" spans="2:10" ht="15.5" x14ac:dyDescent="0.35">
      <c r="B41" s="2" t="s">
        <v>17</v>
      </c>
      <c r="C41" s="6">
        <f t="shared" si="0"/>
        <v>1</v>
      </c>
      <c r="D41" s="6">
        <f t="shared" si="1"/>
        <v>0</v>
      </c>
      <c r="E41" s="6">
        <f t="shared" si="2"/>
        <v>1</v>
      </c>
      <c r="F41" s="6">
        <f t="shared" si="3"/>
        <v>1</v>
      </c>
      <c r="G41" s="6">
        <f t="shared" si="4"/>
        <v>0</v>
      </c>
      <c r="H41" s="6">
        <f t="shared" si="5"/>
        <v>2</v>
      </c>
      <c r="J41" s="3" t="s">
        <v>7</v>
      </c>
    </row>
    <row r="42" spans="2:10" ht="15.5" x14ac:dyDescent="0.35">
      <c r="B42" s="2" t="s">
        <v>18</v>
      </c>
      <c r="C42" s="6">
        <f t="shared" si="0"/>
        <v>3</v>
      </c>
      <c r="D42" s="6">
        <f t="shared" si="1"/>
        <v>0</v>
      </c>
      <c r="E42" s="6">
        <f t="shared" si="2"/>
        <v>2</v>
      </c>
      <c r="F42" s="6">
        <f t="shared" si="3"/>
        <v>2</v>
      </c>
      <c r="G42" s="6">
        <f t="shared" si="4"/>
        <v>0</v>
      </c>
      <c r="H42" s="6">
        <f t="shared" si="5"/>
        <v>0</v>
      </c>
      <c r="J42" s="3" t="s">
        <v>8</v>
      </c>
    </row>
    <row r="43" spans="2:10" ht="15.5" x14ac:dyDescent="0.35">
      <c r="B43" s="2" t="s">
        <v>19</v>
      </c>
      <c r="C43" s="6">
        <f t="shared" si="0"/>
        <v>0</v>
      </c>
      <c r="D43" s="6">
        <f t="shared" si="1"/>
        <v>0</v>
      </c>
      <c r="E43" s="6">
        <f t="shared" si="2"/>
        <v>1</v>
      </c>
      <c r="F43" s="6">
        <f t="shared" si="3"/>
        <v>1</v>
      </c>
      <c r="G43" s="6">
        <f t="shared" si="4"/>
        <v>0</v>
      </c>
      <c r="H43" s="6">
        <f t="shared" si="5"/>
        <v>0</v>
      </c>
      <c r="J43" s="3" t="s">
        <v>7</v>
      </c>
    </row>
    <row r="44" spans="2:10" x14ac:dyDescent="0.35">
      <c r="B44" s="4" t="s">
        <v>21</v>
      </c>
      <c r="C44">
        <f>(SUM(C33:C43))</f>
        <v>14.5</v>
      </c>
      <c r="D44">
        <f>(SUM(D33:D43))</f>
        <v>7.75</v>
      </c>
      <c r="E44">
        <f>(SUM(E33:E43))</f>
        <v>11.75</v>
      </c>
      <c r="F44">
        <f t="shared" ref="D44:H44" si="6">(SUM(F33:F43))</f>
        <v>11.75</v>
      </c>
      <c r="G44">
        <f>(SUM(G33:G43))</f>
        <v>6</v>
      </c>
      <c r="H44">
        <f t="shared" si="6"/>
        <v>12.25</v>
      </c>
      <c r="I44" t="s">
        <v>22</v>
      </c>
      <c r="J44" t="str">
        <f>INDEX(C32:H32,MATCH(MAX(C44:H44),C44:H44,0))</f>
        <v>Сочи</v>
      </c>
    </row>
  </sheetData>
  <mergeCells count="3">
    <mergeCell ref="B3:H3"/>
    <mergeCell ref="B17:H17"/>
    <mergeCell ref="B31:H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2025-10-11T08:33:33Z</dcterms:modified>
</cp:coreProperties>
</file>